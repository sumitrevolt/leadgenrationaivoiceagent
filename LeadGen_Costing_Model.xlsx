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er-Client P&amp;L" sheetId="2" state="visible" r:id="rId4"/>
    <sheet name="At-Scale P&amp;L" sheetId="3" state="visible" r:id="rId5"/>
    <sheet name="Free-vs-PerLead" sheetId="4" state="visible" r:id="rId6"/>
    <sheet name="Scenari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<sst xmlns="http://schemas.openxmlformats.org/spreadsheetml/2006/main" count="94" uniqueCount="89">
  <si>
    <t xml:space="preserve">LeadGen AI Voice Agent — Unit Economics Model</t>
  </si>
  <si>
    <t xml:space="preserve">Neeli (blue) cells = badlo. Kaali = auto-calculate. Yellow = key input.</t>
  </si>
  <si>
    <t xml:space="preserve">TELEPHONY (call cost)</t>
  </si>
  <si>
    <t xml:space="preserve">Average call duration</t>
  </si>
  <si>
    <t xml:space="preserve">minutes per call (typical AI lead call)</t>
  </si>
  <si>
    <t xml:space="preserve">Per-minute telephony rate</t>
  </si>
  <si>
    <t xml:space="preserve">₹/min — cheapest India SIP trunk (₹0.30–0.50)</t>
  </si>
  <si>
    <t xml:space="preserve">→ Telephony cost per call</t>
  </si>
  <si>
    <t xml:space="preserve">auto = duration × per-min rate</t>
  </si>
  <si>
    <t xml:space="preserve">CALLING VOLUME &amp; CONVERSION</t>
  </si>
  <si>
    <t xml:space="preserve">Calls per client / month</t>
  </si>
  <si>
    <t xml:space="preserve">kitni calls ek client ke liye</t>
  </si>
  <si>
    <t xml:space="preserve">Lead conversion rate</t>
  </si>
  <si>
    <t xml:space="preserve">% calls jo qualified lead bante hain (3–5% typical)</t>
  </si>
  <si>
    <t xml:space="preserve">→ Qualified leads / client / month</t>
  </si>
  <si>
    <t xml:space="preserve">auto = calls × conversion</t>
  </si>
  <si>
    <t xml:space="preserve">PRICING (tum client se kya lete ho)</t>
  </si>
  <si>
    <t xml:space="preserve">Price per qualified lead</t>
  </si>
  <si>
    <t xml:space="preserve">₹/lead — recommended ₹200–500</t>
  </si>
  <si>
    <t xml:space="preserve">OR flat 'unlimited' fee / client</t>
  </si>
  <si>
    <t xml:space="preserve">agar 'free unlimited calls' becho (TRAP — neeche dekho)</t>
  </si>
  <si>
    <t xml:space="preserve">FIXED COSTS (monthly)</t>
  </si>
  <si>
    <t xml:space="preserve">Hosting / VPS</t>
  </si>
  <si>
    <t xml:space="preserve">shared — self-host server</t>
  </si>
  <si>
    <t xml:space="preserve">AI / LLM / STT / TTS</t>
  </si>
  <si>
    <t xml:space="preserve">free tier (Whisper+EdgeTTS+Gemini) = ₹0</t>
  </si>
  <si>
    <t xml:space="preserve">SIP channel rental / client</t>
  </si>
  <si>
    <t xml:space="preserve">flat per client (FreJun-style) — ya 0 agar pure per-min</t>
  </si>
  <si>
    <t xml:space="preserve">SCALE</t>
  </si>
  <si>
    <t xml:space="preserve">Number of clients</t>
  </si>
  <si>
    <t xml:space="preserve">kitni companies tumhari client hain</t>
  </si>
  <si>
    <t xml:space="preserve">Per-Client P&amp;L (ek client, ek month)</t>
  </si>
  <si>
    <t xml:space="preserve">Calls / month</t>
  </si>
  <si>
    <t xml:space="preserve">Qualified leads</t>
  </si>
  <si>
    <t xml:space="preserve">Revenue (per-lead model)</t>
  </si>
  <si>
    <t xml:space="preserve">leads × price/lead</t>
  </si>
  <si>
    <t xml:space="preserve">Telephony cost</t>
  </si>
  <si>
    <t xml:space="preserve">calls × cost/call</t>
  </si>
  <si>
    <t xml:space="preserve">SIP channel rental</t>
  </si>
  <si>
    <t xml:space="preserve">flat per client</t>
  </si>
  <si>
    <t xml:space="preserve">Cost to serve</t>
  </si>
  <si>
    <t xml:space="preserve">telephony + SIP</t>
  </si>
  <si>
    <t xml:space="preserve">Gross profit / client</t>
  </si>
  <si>
    <t xml:space="preserve">revenue − cost</t>
  </si>
  <si>
    <t xml:space="preserve">Gross margin</t>
  </si>
  <si>
    <t xml:space="preserve">Note: telephony cost (₹~) revenue ke saamne kitna chhota hai — yahi point hai.</t>
  </si>
  <si>
    <t xml:space="preserve">At-Scale P&amp;L (sabhi clients milake, monthly)</t>
  </si>
  <si>
    <t xml:space="preserve">Total calls / month</t>
  </si>
  <si>
    <t xml:space="preserve">clients × calls each</t>
  </si>
  <si>
    <t xml:space="preserve">Total qualified leads</t>
  </si>
  <si>
    <t xml:space="preserve">Total revenue</t>
  </si>
  <si>
    <t xml:space="preserve">per-lead model</t>
  </si>
  <si>
    <t xml:space="preserve">Total telephony cost</t>
  </si>
  <si>
    <t xml:space="preserve">scales with calls</t>
  </si>
  <si>
    <t xml:space="preserve">Total SIP rentals</t>
  </si>
  <si>
    <t xml:space="preserve">per client</t>
  </si>
  <si>
    <t xml:space="preserve">Fixed costs (hosting+AI)</t>
  </si>
  <si>
    <t xml:space="preserve">shared, one-time monthly</t>
  </si>
  <si>
    <t xml:space="preserve">Total cost</t>
  </si>
  <si>
    <t xml:space="preserve">NET PROFIT / month</t>
  </si>
  <si>
    <t xml:space="preserve">revenue − total cost</t>
  </si>
  <si>
    <t xml:space="preserve">Net margin</t>
  </si>
  <si>
    <t xml:space="preserve">Profit per client</t>
  </si>
  <si>
    <t xml:space="preserve">Telephony as % of revenue</t>
  </si>
  <si>
    <t xml:space="preserve">← dekho kitna chhota hai</t>
  </si>
  <si>
    <t xml:space="preserve">KEY: jaise clients badhte hain, cost AUR revenue dono badhte hain — profit bhi. Per-call doobata nahi.</t>
  </si>
  <si>
    <t xml:space="preserve">'Free unlimited' becho vs 'Per-lead' becho — kya farak</t>
  </si>
  <si>
    <t xml:space="preserve">(per client / month)</t>
  </si>
  <si>
    <t xml:space="preserve">Model A: FREE unlimited</t>
  </si>
  <si>
    <t xml:space="preserve">Model B: PER-LEAD</t>
  </si>
  <si>
    <t xml:space="preserve">same volume</t>
  </si>
  <si>
    <t xml:space="preserve">Revenue</t>
  </si>
  <si>
    <t xml:space="preserve">A=flat fee, B=per lead</t>
  </si>
  <si>
    <t xml:space="preserve">dono me same</t>
  </si>
  <si>
    <t xml:space="preserve">SIP rental</t>
  </si>
  <si>
    <t xml:space="preserve">Profit / client</t>
  </si>
  <si>
    <t xml:space="preserve">Ab Assumptions me 'Calls per client' 1000 se 4000 kar do →</t>
  </si>
  <si>
    <t xml:space="preserve">Model A (free): calls badhne se telephony badhega par revenue flat → profit GIRTA hai, loss me ja sakta hai.</t>
  </si>
  <si>
    <t xml:space="preserve">Model B (per-lead): calls badhne se leads badhte hain → revenue bhi badhta hai → profit BADHTA hai.</t>
  </si>
  <si>
    <t xml:space="preserve">Isiliye 'free calls' becho mat — PER-LEAD becho. Yahi tumhe doobne se bachata hai.</t>
  </si>
  <si>
    <t xml:space="preserve">Scenario table — clients badhao, profit dekho</t>
  </si>
  <si>
    <t xml:space="preserve">Clients</t>
  </si>
  <si>
    <t xml:space="preserve">Total calls</t>
  </si>
  <si>
    <t xml:space="preserve">Total leads</t>
  </si>
  <si>
    <t xml:space="preserve">Telephony</t>
  </si>
  <si>
    <t xml:space="preserve">Fixed</t>
  </si>
  <si>
    <t xml:space="preserve">Net profit</t>
  </si>
  <si>
    <t xml:space="preserve">Margin</t>
  </si>
  <si>
    <t xml:space="preserve">Numbers Assumptions sheet se aate hain — wahan kuch bhi badlo, ye table update ho jaayega.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</si>
</sst>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\₹#,##0.00"/>
    <numFmt numFmtId="167" formatCode="#,##0"/>
    <numFmt numFmtId="168" formatCode="0.0%"/>
    <numFmt numFmtId="169" formatCode="\₹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i val="true"/>
      <sz val="9"/>
      <color rgb="FF008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9"/>
      <color rgb="FFC00000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24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B5" s="5" t="n">
        <v>3</v>
      </c>
      <c r="C5" s="6" t="s">
        <v>4</v>
      </c>
    </row>
    <row r="6" customFormat="false" ht="15" hidden="false" customHeight="false" outlineLevel="0" collapsed="false">
      <c r="A6" s="4" t="s">
        <v>5</v>
      </c>
      <c r="B6" s="7" t="n">
        <v>0.4</v>
      </c>
      <c r="C6" s="6" t="s">
        <v>6</v>
      </c>
    </row>
    <row r="7" customFormat="false" ht="15" hidden="false" customHeight="false" outlineLevel="0" collapsed="false">
      <c r="A7" s="8" t="s">
        <v>7</v>
      </c>
      <c r="B7" s="9" t="n">
        <f aca="false">B5*B6</f>
        <v>1.2</v>
      </c>
      <c r="C7" s="6" t="s">
        <v>8</v>
      </c>
    </row>
    <row r="9" customFormat="false" ht="15" hidden="false" customHeight="false" outlineLevel="0" collapsed="false">
      <c r="A9" s="3" t="s">
        <v>9</v>
      </c>
      <c r="B9" s="3"/>
      <c r="C9" s="3"/>
    </row>
    <row r="10" customFormat="false" ht="15" hidden="false" customHeight="false" outlineLevel="0" collapsed="false">
      <c r="A10" s="4" t="s">
        <v>10</v>
      </c>
      <c r="B10" s="10" t="n">
        <v>1000</v>
      </c>
      <c r="C10" s="6" t="s">
        <v>11</v>
      </c>
    </row>
    <row r="11" customFormat="false" ht="15" hidden="false" customHeight="false" outlineLevel="0" collapsed="false">
      <c r="A11" s="4" t="s">
        <v>12</v>
      </c>
      <c r="B11" s="11" t="n">
        <v>0.04</v>
      </c>
      <c r="C11" s="6" t="s">
        <v>13</v>
      </c>
    </row>
    <row r="12" customFormat="false" ht="15" hidden="false" customHeight="false" outlineLevel="0" collapsed="false">
      <c r="A12" s="8" t="s">
        <v>14</v>
      </c>
      <c r="B12" s="12" t="n">
        <f aca="false">B10*B11</f>
        <v>40</v>
      </c>
      <c r="C12" s="6" t="s">
        <v>15</v>
      </c>
    </row>
    <row r="14" customFormat="false" ht="15" hidden="false" customHeight="false" outlineLevel="0" collapsed="false">
      <c r="A14" s="3" t="s">
        <v>16</v>
      </c>
      <c r="B14" s="3"/>
      <c r="C14" s="3"/>
    </row>
    <row r="15" customFormat="false" ht="15" hidden="false" customHeight="false" outlineLevel="0" collapsed="false">
      <c r="A15" s="4" t="s">
        <v>17</v>
      </c>
      <c r="B15" s="13" t="n">
        <v>300</v>
      </c>
      <c r="C15" s="6" t="s">
        <v>18</v>
      </c>
    </row>
    <row r="16" customFormat="false" ht="15" hidden="false" customHeight="false" outlineLevel="0" collapsed="false">
      <c r="A16" s="4" t="s">
        <v>19</v>
      </c>
      <c r="B16" s="13" t="n">
        <v>5000</v>
      </c>
      <c r="C16" s="6" t="s">
        <v>20</v>
      </c>
    </row>
    <row r="18" customFormat="false" ht="15" hidden="false" customHeight="false" outlineLevel="0" collapsed="false">
      <c r="A18" s="3" t="s">
        <v>21</v>
      </c>
      <c r="B18" s="3"/>
      <c r="C18" s="3"/>
    </row>
    <row r="19" customFormat="false" ht="15" hidden="false" customHeight="false" outlineLevel="0" collapsed="false">
      <c r="A19" s="4" t="s">
        <v>22</v>
      </c>
      <c r="B19" s="13" t="n">
        <v>500</v>
      </c>
      <c r="C19" s="6" t="s">
        <v>23</v>
      </c>
    </row>
    <row r="20" customFormat="false" ht="15" hidden="false" customHeight="false" outlineLevel="0" collapsed="false">
      <c r="A20" s="4" t="s">
        <v>24</v>
      </c>
      <c r="B20" s="13" t="n">
        <v>0</v>
      </c>
      <c r="C20" s="6" t="s">
        <v>25</v>
      </c>
    </row>
    <row r="21" customFormat="false" ht="15" hidden="false" customHeight="false" outlineLevel="0" collapsed="false">
      <c r="A21" s="4" t="s">
        <v>26</v>
      </c>
      <c r="B21" s="13" t="n">
        <v>1149</v>
      </c>
      <c r="C21" s="6" t="s">
        <v>27</v>
      </c>
    </row>
    <row r="23" customFormat="false" ht="15" hidden="false" customHeight="false" outlineLevel="0" collapsed="false">
      <c r="A23" s="3" t="s">
        <v>28</v>
      </c>
      <c r="B23" s="3"/>
      <c r="C23" s="3"/>
    </row>
    <row r="24" customFormat="false" ht="15" hidden="false" customHeight="false" outlineLevel="0" collapsed="false">
      <c r="A24" s="4" t="s">
        <v>29</v>
      </c>
      <c r="B24" s="10" t="n">
        <v>10</v>
      </c>
      <c r="C24" s="6" t="s">
        <v>30</v>
      </c>
    </row>
  </sheetData>
  <mergeCells count="7">
    <mergeCell ref="A1:C1"/>
    <mergeCell ref="A2:C2"/>
    <mergeCell ref="A4:C4"/>
    <mergeCell ref="A9:C9"/>
    <mergeCell ref="A14:C14"/>
    <mergeCell ref="A18:C18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21.75" hidden="false" customHeight="true" outlineLevel="0" collapsed="false">
      <c r="A1" s="1" t="s">
        <v>31</v>
      </c>
      <c r="B1" s="1"/>
      <c r="C1" s="1"/>
    </row>
    <row r="3" customFormat="false" ht="15" hidden="false" customHeight="false" outlineLevel="0" collapsed="false">
      <c r="A3" s="4" t="s">
        <v>32</v>
      </c>
      <c r="B3" s="14" t="n">
        <f aca="false">Assumptions!B10</f>
        <v>1000</v>
      </c>
      <c r="C3" s="6"/>
    </row>
    <row r="4" customFormat="false" ht="15" hidden="false" customHeight="false" outlineLevel="0" collapsed="false">
      <c r="A4" s="4" t="s">
        <v>33</v>
      </c>
      <c r="B4" s="14" t="n">
        <f aca="false">Assumptions!B12</f>
        <v>40</v>
      </c>
      <c r="C4" s="6"/>
    </row>
    <row r="5" customFormat="false" ht="15" hidden="false" customHeight="false" outlineLevel="0" collapsed="false">
      <c r="A5" s="15" t="s">
        <v>34</v>
      </c>
      <c r="B5" s="16" t="n">
        <f aca="false">Assumptions!B12*Assumptions!B15</f>
        <v>12000</v>
      </c>
      <c r="C5" s="6" t="s">
        <v>35</v>
      </c>
    </row>
    <row r="6" customFormat="false" ht="15" hidden="false" customHeight="false" outlineLevel="0" collapsed="false">
      <c r="A6" s="4" t="s">
        <v>36</v>
      </c>
      <c r="B6" s="17" t="n">
        <f aca="false">Assumptions!B10*Assumptions!B7</f>
        <v>1200</v>
      </c>
      <c r="C6" s="6" t="s">
        <v>37</v>
      </c>
    </row>
    <row r="7" customFormat="false" ht="15" hidden="false" customHeight="false" outlineLevel="0" collapsed="false">
      <c r="A7" s="4" t="s">
        <v>38</v>
      </c>
      <c r="B7" s="17" t="n">
        <f aca="false">Assumptions!B21</f>
        <v>1149</v>
      </c>
      <c r="C7" s="6" t="s">
        <v>39</v>
      </c>
    </row>
    <row r="8" customFormat="false" ht="15" hidden="false" customHeight="false" outlineLevel="0" collapsed="false">
      <c r="A8" s="8" t="s">
        <v>40</v>
      </c>
      <c r="B8" s="18" t="n">
        <f aca="false">B6+B7</f>
        <v>2349</v>
      </c>
      <c r="C8" s="6" t="s">
        <v>41</v>
      </c>
    </row>
    <row r="9" customFormat="false" ht="15" hidden="false" customHeight="false" outlineLevel="0" collapsed="false">
      <c r="A9" s="15" t="s">
        <v>42</v>
      </c>
      <c r="B9" s="16" t="n">
        <f aca="false">B5-B8</f>
        <v>9651</v>
      </c>
      <c r="C9" s="6" t="s">
        <v>43</v>
      </c>
    </row>
    <row r="10" customFormat="false" ht="15" hidden="false" customHeight="false" outlineLevel="0" collapsed="false">
      <c r="A10" s="8" t="s">
        <v>44</v>
      </c>
      <c r="B10" s="19" t="n">
        <f aca="false">IF(B5=0,0,B9/B5)</f>
        <v>0.80425</v>
      </c>
      <c r="C10" s="6"/>
    </row>
    <row r="12" customFormat="false" ht="15" hidden="false" customHeight="false" outlineLevel="0" collapsed="false">
      <c r="A12" s="20" t="s">
        <v>45</v>
      </c>
      <c r="B12" s="20"/>
      <c r="C12" s="20"/>
    </row>
  </sheetData>
  <mergeCells count="2">
    <mergeCell ref="A1:C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21.75" hidden="false" customHeight="true" outlineLevel="0" collapsed="false">
      <c r="A1" s="1" t="s">
        <v>46</v>
      </c>
      <c r="B1" s="1"/>
      <c r="C1" s="1"/>
    </row>
    <row r="3" customFormat="false" ht="15" hidden="false" customHeight="false" outlineLevel="0" collapsed="false">
      <c r="A3" s="4" t="s">
        <v>29</v>
      </c>
      <c r="B3" s="14" t="n">
        <f aca="false">Assumptions!B24</f>
        <v>10</v>
      </c>
      <c r="C3" s="6"/>
    </row>
    <row r="4" customFormat="false" ht="15" hidden="false" customHeight="false" outlineLevel="0" collapsed="false">
      <c r="A4" s="4" t="s">
        <v>47</v>
      </c>
      <c r="B4" s="14" t="n">
        <f aca="false">B3*Assumptions!B10</f>
        <v>10000</v>
      </c>
      <c r="C4" s="6" t="s">
        <v>48</v>
      </c>
    </row>
    <row r="5" customFormat="false" ht="15" hidden="false" customHeight="false" outlineLevel="0" collapsed="false">
      <c r="A5" s="4" t="s">
        <v>49</v>
      </c>
      <c r="B5" s="14" t="n">
        <f aca="false">B3*Assumptions!B12</f>
        <v>400</v>
      </c>
      <c r="C5" s="6"/>
    </row>
    <row r="6" customFormat="false" ht="15" hidden="false" customHeight="false" outlineLevel="0" collapsed="false">
      <c r="A6" s="15" t="s">
        <v>50</v>
      </c>
      <c r="B6" s="16" t="n">
        <f aca="false">B5*Assumptions!B15</f>
        <v>120000</v>
      </c>
      <c r="C6" s="6" t="s">
        <v>51</v>
      </c>
    </row>
    <row r="7" customFormat="false" ht="15" hidden="false" customHeight="false" outlineLevel="0" collapsed="false">
      <c r="A7" s="4" t="s">
        <v>52</v>
      </c>
      <c r="B7" s="17" t="n">
        <f aca="false">B4*Assumptions!B7</f>
        <v>12000</v>
      </c>
      <c r="C7" s="6" t="s">
        <v>53</v>
      </c>
    </row>
    <row r="8" customFormat="false" ht="15" hidden="false" customHeight="false" outlineLevel="0" collapsed="false">
      <c r="A8" s="4" t="s">
        <v>54</v>
      </c>
      <c r="B8" s="17" t="n">
        <f aca="false">B3*Assumptions!B21</f>
        <v>11490</v>
      </c>
      <c r="C8" s="6" t="s">
        <v>55</v>
      </c>
    </row>
    <row r="9" customFormat="false" ht="15" hidden="false" customHeight="false" outlineLevel="0" collapsed="false">
      <c r="A9" s="4" t="s">
        <v>56</v>
      </c>
      <c r="B9" s="17" t="n">
        <f aca="false">Assumptions!B19+Assumptions!B20</f>
        <v>500</v>
      </c>
      <c r="C9" s="6" t="s">
        <v>57</v>
      </c>
    </row>
    <row r="10" customFormat="false" ht="15" hidden="false" customHeight="false" outlineLevel="0" collapsed="false">
      <c r="A10" s="8" t="s">
        <v>58</v>
      </c>
      <c r="B10" s="18" t="n">
        <f aca="false">B7+B8+B9</f>
        <v>23990</v>
      </c>
      <c r="C10" s="6"/>
    </row>
    <row r="11" customFormat="false" ht="15" hidden="false" customHeight="false" outlineLevel="0" collapsed="false">
      <c r="A11" s="15" t="s">
        <v>59</v>
      </c>
      <c r="B11" s="16" t="n">
        <f aca="false">B6-B10</f>
        <v>96010</v>
      </c>
      <c r="C11" s="6" t="s">
        <v>60</v>
      </c>
    </row>
    <row r="12" customFormat="false" ht="15" hidden="false" customHeight="false" outlineLevel="0" collapsed="false">
      <c r="A12" s="8" t="s">
        <v>61</v>
      </c>
      <c r="B12" s="19" t="n">
        <f aca="false">IF(B6=0,0,B11/B6)</f>
        <v>0.800083333333333</v>
      </c>
      <c r="C12" s="6"/>
    </row>
    <row r="13" customFormat="false" ht="15" hidden="false" customHeight="false" outlineLevel="0" collapsed="false">
      <c r="A13" s="8" t="s">
        <v>62</v>
      </c>
      <c r="B13" s="18" t="n">
        <f aca="false">IF(B3=0,0,B11/B3)</f>
        <v>9601</v>
      </c>
      <c r="C13" s="6"/>
    </row>
    <row r="14" customFormat="false" ht="15" hidden="false" customHeight="false" outlineLevel="0" collapsed="false">
      <c r="A14" s="8" t="s">
        <v>63</v>
      </c>
      <c r="B14" s="19" t="n">
        <f aca="false">IF(B6=0,0,B7/B6)</f>
        <v>0.1</v>
      </c>
      <c r="C14" s="6" t="s">
        <v>64</v>
      </c>
    </row>
    <row r="16" customFormat="false" ht="15" hidden="false" customHeight="false" outlineLevel="0" collapsed="false">
      <c r="A16" s="21" t="s">
        <v>65</v>
      </c>
      <c r="B16" s="21"/>
      <c r="C16" s="21"/>
    </row>
  </sheetData>
  <mergeCells count="2">
    <mergeCell ref="A1:C1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8"/>
    <col collapsed="false" customWidth="true" hidden="false" outlineLevel="0" max="4" min="4" style="0" width="30"/>
  </cols>
  <sheetData>
    <row r="1" customFormat="false" ht="21.75" hidden="false" customHeight="true" outlineLevel="0" collapsed="false">
      <c r="A1" s="1" t="s">
        <v>66</v>
      </c>
      <c r="B1" s="1"/>
      <c r="C1" s="1"/>
      <c r="D1" s="1"/>
    </row>
    <row r="3" customFormat="false" ht="15" hidden="false" customHeight="false" outlineLevel="0" collapsed="false">
      <c r="A3" s="8" t="s">
        <v>67</v>
      </c>
      <c r="B3" s="22" t="s">
        <v>68</v>
      </c>
      <c r="C3" s="22" t="s">
        <v>69</v>
      </c>
    </row>
    <row r="4" customFormat="false" ht="15" hidden="false" customHeight="false" outlineLevel="0" collapsed="false">
      <c r="A4" s="4" t="s">
        <v>32</v>
      </c>
      <c r="B4" s="14" t="n">
        <f aca="false">Assumptions!B10</f>
        <v>1000</v>
      </c>
      <c r="C4" s="14" t="n">
        <f aca="false">Assumptions!B10</f>
        <v>1000</v>
      </c>
      <c r="D4" s="6" t="s">
        <v>70</v>
      </c>
    </row>
    <row r="5" customFormat="false" ht="15" hidden="false" customHeight="false" outlineLevel="0" collapsed="false">
      <c r="A5" s="15" t="s">
        <v>71</v>
      </c>
      <c r="B5" s="16" t="n">
        <f aca="false">Assumptions!B16</f>
        <v>5000</v>
      </c>
      <c r="C5" s="16" t="n">
        <f aca="false">Assumptions!B12*Assumptions!B15</f>
        <v>12000</v>
      </c>
      <c r="D5" s="6" t="s">
        <v>72</v>
      </c>
    </row>
    <row r="6" customFormat="false" ht="15" hidden="false" customHeight="false" outlineLevel="0" collapsed="false">
      <c r="A6" s="4" t="s">
        <v>36</v>
      </c>
      <c r="B6" s="17" t="n">
        <f aca="false">Assumptions!B10*Assumptions!B7</f>
        <v>1200</v>
      </c>
      <c r="C6" s="17" t="n">
        <f aca="false">Assumptions!B10*Assumptions!B7</f>
        <v>1200</v>
      </c>
      <c r="D6" s="6" t="s">
        <v>73</v>
      </c>
    </row>
    <row r="7" customFormat="false" ht="15" hidden="false" customHeight="false" outlineLevel="0" collapsed="false">
      <c r="A7" s="4" t="s">
        <v>74</v>
      </c>
      <c r="B7" s="17" t="n">
        <f aca="false">Assumptions!B21</f>
        <v>1149</v>
      </c>
      <c r="C7" s="17" t="n">
        <f aca="false">Assumptions!B21</f>
        <v>1149</v>
      </c>
      <c r="D7" s="6"/>
    </row>
    <row r="8" customFormat="false" ht="15" hidden="false" customHeight="false" outlineLevel="0" collapsed="false">
      <c r="A8" s="15" t="s">
        <v>75</v>
      </c>
      <c r="B8" s="16" t="n">
        <f aca="false">B5-B6-B7</f>
        <v>2651</v>
      </c>
      <c r="C8" s="16" t="n">
        <f aca="false">C5-C6-C7</f>
        <v>9651</v>
      </c>
      <c r="D8" s="6"/>
    </row>
    <row r="10" customFormat="false" ht="15" hidden="false" customHeight="false" outlineLevel="0" collapsed="false">
      <c r="A10" s="23" t="s">
        <v>76</v>
      </c>
    </row>
    <row r="11" customFormat="false" ht="15" hidden="false" customHeight="false" outlineLevel="0" collapsed="false">
      <c r="A11" s="24" t="s">
        <v>77</v>
      </c>
      <c r="B11" s="24"/>
      <c r="C11" s="24"/>
      <c r="D11" s="24"/>
    </row>
    <row r="12" customFormat="false" ht="15" hidden="false" customHeight="false" outlineLevel="0" collapsed="false">
      <c r="A12" s="25" t="s">
        <v>78</v>
      </c>
      <c r="B12" s="25"/>
      <c r="C12" s="25"/>
      <c r="D12" s="25"/>
    </row>
    <row r="13" customFormat="false" ht="15" hidden="false" customHeight="false" outlineLevel="0" collapsed="false">
      <c r="A13" s="26" t="s">
        <v>79</v>
      </c>
      <c r="B13" s="26"/>
      <c r="C13" s="26"/>
      <c r="D13" s="26"/>
    </row>
  </sheetData>
  <mergeCells count="4">
    <mergeCell ref="A1:D1"/>
    <mergeCell ref="A11:D11"/>
    <mergeCell ref="A12:D12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0"/>
  </cols>
  <sheetData>
    <row r="1" customFormat="false" ht="21.75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7" t="s">
        <v>81</v>
      </c>
      <c r="B2" s="27" t="s">
        <v>82</v>
      </c>
      <c r="C2" s="27" t="s">
        <v>83</v>
      </c>
      <c r="D2" s="27" t="s">
        <v>71</v>
      </c>
      <c r="E2" s="27" t="s">
        <v>84</v>
      </c>
      <c r="F2" s="27" t="s">
        <v>74</v>
      </c>
      <c r="G2" s="27" t="s">
        <v>85</v>
      </c>
      <c r="H2" s="27" t="s">
        <v>86</v>
      </c>
      <c r="I2" s="27" t="s">
        <v>87</v>
      </c>
    </row>
    <row r="3" customFormat="false" ht="15" hidden="false" customHeight="false" outlineLevel="0" collapsed="false">
      <c r="A3" s="28" t="n">
        <v>1</v>
      </c>
      <c r="B3" s="29" t="n">
        <f aca="false">A3*Assumptions!$B$10</f>
        <v>1000</v>
      </c>
      <c r="C3" s="29" t="n">
        <f aca="false">A3*Assumptions!$B$12</f>
        <v>40</v>
      </c>
      <c r="D3" s="30" t="n">
        <f aca="false">C3*Assumptions!$B$15</f>
        <v>12000</v>
      </c>
      <c r="E3" s="30" t="n">
        <f aca="false">B3*Assumptions!$B$7</f>
        <v>1200</v>
      </c>
      <c r="F3" s="30" t="n">
        <f aca="false">A3*Assumptions!$B$21</f>
        <v>1149</v>
      </c>
      <c r="G3" s="30" t="n">
        <f aca="false">Assumptions!$B$19+Assumptions!$B$20</f>
        <v>500</v>
      </c>
      <c r="H3" s="16" t="n">
        <f aca="false">D3-E3-F3-G3</f>
        <v>9151</v>
      </c>
      <c r="I3" s="31" t="n">
        <f aca="false">IF(D3=0,0,H3/D3)</f>
        <v>0.762583333333333</v>
      </c>
    </row>
    <row r="4" customFormat="false" ht="15" hidden="false" customHeight="false" outlineLevel="0" collapsed="false">
      <c r="A4" s="28" t="n">
        <v>5</v>
      </c>
      <c r="B4" s="29" t="n">
        <f aca="false">A4*Assumptions!$B$10</f>
        <v>5000</v>
      </c>
      <c r="C4" s="29" t="n">
        <f aca="false">A4*Assumptions!$B$12</f>
        <v>200</v>
      </c>
      <c r="D4" s="30" t="n">
        <f aca="false">C4*Assumptions!$B$15</f>
        <v>60000</v>
      </c>
      <c r="E4" s="30" t="n">
        <f aca="false">B4*Assumptions!$B$7</f>
        <v>6000</v>
      </c>
      <c r="F4" s="30" t="n">
        <f aca="false">A4*Assumptions!$B$21</f>
        <v>5745</v>
      </c>
      <c r="G4" s="30" t="n">
        <f aca="false">Assumptions!$B$19+Assumptions!$B$20</f>
        <v>500</v>
      </c>
      <c r="H4" s="16" t="n">
        <f aca="false">D4-E4-F4-G4</f>
        <v>47755</v>
      </c>
      <c r="I4" s="31" t="n">
        <f aca="false">IF(D4=0,0,H4/D4)</f>
        <v>0.795916666666667</v>
      </c>
    </row>
    <row r="5" customFormat="false" ht="15" hidden="false" customHeight="false" outlineLevel="0" collapsed="false">
      <c r="A5" s="28" t="n">
        <v>10</v>
      </c>
      <c r="B5" s="29" t="n">
        <f aca="false">A5*Assumptions!$B$10</f>
        <v>10000</v>
      </c>
      <c r="C5" s="29" t="n">
        <f aca="false">A5*Assumptions!$B$12</f>
        <v>400</v>
      </c>
      <c r="D5" s="30" t="n">
        <f aca="false">C5*Assumptions!$B$15</f>
        <v>120000</v>
      </c>
      <c r="E5" s="30" t="n">
        <f aca="false">B5*Assumptions!$B$7</f>
        <v>12000</v>
      </c>
      <c r="F5" s="30" t="n">
        <f aca="false">A5*Assumptions!$B$21</f>
        <v>11490</v>
      </c>
      <c r="G5" s="30" t="n">
        <f aca="false">Assumptions!$B$19+Assumptions!$B$20</f>
        <v>500</v>
      </c>
      <c r="H5" s="16" t="n">
        <f aca="false">D5-E5-F5-G5</f>
        <v>96010</v>
      </c>
      <c r="I5" s="31" t="n">
        <f aca="false">IF(D5=0,0,H5/D5)</f>
        <v>0.800083333333333</v>
      </c>
    </row>
    <row r="6" customFormat="false" ht="15" hidden="false" customHeight="false" outlineLevel="0" collapsed="false">
      <c r="A6" s="28" t="n">
        <v>25</v>
      </c>
      <c r="B6" s="29" t="n">
        <f aca="false">A6*Assumptions!$B$10</f>
        <v>25000</v>
      </c>
      <c r="C6" s="29" t="n">
        <f aca="false">A6*Assumptions!$B$12</f>
        <v>1000</v>
      </c>
      <c r="D6" s="30" t="n">
        <f aca="false">C6*Assumptions!$B$15</f>
        <v>300000</v>
      </c>
      <c r="E6" s="30" t="n">
        <f aca="false">B6*Assumptions!$B$7</f>
        <v>30000</v>
      </c>
      <c r="F6" s="30" t="n">
        <f aca="false">A6*Assumptions!$B$21</f>
        <v>28725</v>
      </c>
      <c r="G6" s="30" t="n">
        <f aca="false">Assumptions!$B$19+Assumptions!$B$20</f>
        <v>500</v>
      </c>
      <c r="H6" s="16" t="n">
        <f aca="false">D6-E6-F6-G6</f>
        <v>240775</v>
      </c>
      <c r="I6" s="31" t="n">
        <f aca="false">IF(D6=0,0,H6/D6)</f>
        <v>0.802583333333333</v>
      </c>
    </row>
    <row r="7" customFormat="false" ht="15" hidden="false" customHeight="false" outlineLevel="0" collapsed="false">
      <c r="A7" s="28" t="n">
        <v>50</v>
      </c>
      <c r="B7" s="29" t="n">
        <f aca="false">A7*Assumptions!$B$10</f>
        <v>50000</v>
      </c>
      <c r="C7" s="29" t="n">
        <f aca="false">A7*Assumptions!$B$12</f>
        <v>2000</v>
      </c>
      <c r="D7" s="30" t="n">
        <f aca="false">C7*Assumptions!$B$15</f>
        <v>600000</v>
      </c>
      <c r="E7" s="30" t="n">
        <f aca="false">B7*Assumptions!$B$7</f>
        <v>60000</v>
      </c>
      <c r="F7" s="30" t="n">
        <f aca="false">A7*Assumptions!$B$21</f>
        <v>57450</v>
      </c>
      <c r="G7" s="30" t="n">
        <f aca="false">Assumptions!$B$19+Assumptions!$B$20</f>
        <v>500</v>
      </c>
      <c r="H7" s="16" t="n">
        <f aca="false">D7-E7-F7-G7</f>
        <v>482050</v>
      </c>
      <c r="I7" s="31" t="n">
        <f aca="false">IF(D7=0,0,H7/D7)</f>
        <v>0.803416666666667</v>
      </c>
    </row>
    <row r="8" customFormat="false" ht="15" hidden="false" customHeight="false" outlineLevel="0" collapsed="false">
      <c r="A8" s="28" t="n">
        <v>100</v>
      </c>
      <c r="B8" s="29" t="n">
        <f aca="false">A8*Assumptions!$B$10</f>
        <v>100000</v>
      </c>
      <c r="C8" s="29" t="n">
        <f aca="false">A8*Assumptions!$B$12</f>
        <v>4000</v>
      </c>
      <c r="D8" s="30" t="n">
        <f aca="false">C8*Assumptions!$B$15</f>
        <v>1200000</v>
      </c>
      <c r="E8" s="30" t="n">
        <f aca="false">B8*Assumptions!$B$7</f>
        <v>120000</v>
      </c>
      <c r="F8" s="30" t="n">
        <f aca="false">A8*Assumptions!$B$21</f>
        <v>114900</v>
      </c>
      <c r="G8" s="30" t="n">
        <f aca="false">Assumptions!$B$19+Assumptions!$B$20</f>
        <v>500</v>
      </c>
      <c r="H8" s="16" t="n">
        <f aca="false">D8-E8-F8-G8</f>
        <v>964600</v>
      </c>
      <c r="I8" s="31" t="n">
        <f aca="false">IF(D8=0,0,H8/D8)</f>
        <v>0.803833333333333</v>
      </c>
    </row>
    <row r="9" customFormat="false" ht="15" hidden="false" customHeight="false" outlineLevel="0" collapsed="false">
      <c r="A9" s="28" t="n">
        <v>250</v>
      </c>
      <c r="B9" s="29" t="n">
        <f aca="false">A9*Assumptions!$B$10</f>
        <v>250000</v>
      </c>
      <c r="C9" s="29" t="n">
        <f aca="false">A9*Assumptions!$B$12</f>
        <v>10000</v>
      </c>
      <c r="D9" s="30" t="n">
        <f aca="false">C9*Assumptions!$B$15</f>
        <v>3000000</v>
      </c>
      <c r="E9" s="30" t="n">
        <f aca="false">B9*Assumptions!$B$7</f>
        <v>300000</v>
      </c>
      <c r="F9" s="30" t="n">
        <f aca="false">A9*Assumptions!$B$21</f>
        <v>287250</v>
      </c>
      <c r="G9" s="30" t="n">
        <f aca="false">Assumptions!$B$19+Assumptions!$B$20</f>
        <v>500</v>
      </c>
      <c r="H9" s="16" t="n">
        <f aca="false">D9-E9-F9-G9</f>
        <v>2412250</v>
      </c>
      <c r="I9" s="31" t="n">
        <f aca="false">IF(D9=0,0,H9/D9)</f>
        <v>0.804083333333333</v>
      </c>
    </row>
    <row r="11" customFormat="false" ht="15" hidden="false" customHeight="false" outlineLevel="0" collapsed="false">
      <c r="A11" s="2" t="s">
        <v>88</v>
      </c>
      <c r="B11" s="2"/>
      <c r="C11" s="2"/>
      <c r="D11" s="2"/>
      <c r="E11" s="2"/>
      <c r="F11" s="2"/>
      <c r="G11" s="2"/>
      <c r="H11" s="2"/>
      <c r="I11" s="2"/>
    </row>
  </sheetData>
  <mergeCells count="2">
    <mergeCell ref="A1:I1"/>
    <mergeCell ref="A11:I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2026-06-05T17:03:48Z</dcterms:created>
  <dc:creator>openpyxl</dc:creator>
  <dc:description/>
  <dc:language>en-US</dc:language>
  <cp:lastModifiedBy/>
  <dcterms:modified xsi:type="dcterms:W3CDTF">2026-06-05T17:03:48Z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